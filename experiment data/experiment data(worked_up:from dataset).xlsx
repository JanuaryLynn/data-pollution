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<sst xmlns="http://schemas.openxmlformats.org/spreadsheetml/2006/main" count="300" uniqueCount="15">
  <si>
    <t>num-nodes</t>
  </si>
  <si>
    <t>ticks</t>
  </si>
  <si>
    <t>pollution-level</t>
  </si>
  <si>
    <t>treatment</t>
  </si>
  <si>
    <t>none</t>
  </si>
  <si>
    <t>legal</t>
  </si>
  <si>
    <t>platform</t>
  </si>
  <si>
    <t>legal-strength</t>
  </si>
  <si>
    <t>/</t>
  </si>
  <si>
    <t>legal-response-time</t>
  </si>
  <si>
    <t>platform-accuracy</t>
  </si>
  <si>
    <t>platform-speed</t>
  </si>
  <si>
    <t>average</t>
  </si>
  <si>
    <t>variance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</si>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</sst>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0"/>
  <sheetViews>
    <sheetView tabSelected="1" zoomScale="48" zoomScaleNormal="48" workbookViewId="0">
      <selection activeCell="G71" sqref="G71"/>
    </sheetView>
  </sheetViews>
  <sheetFormatPr defaultColWidth="9" defaultRowHeight="16.8"/>
  <cols>
    <col min="1" max="1" width="21.09375" style="2" customWidth="1"/>
    <col min="2" max="5" width="12.6875" style="2"/>
    <col min="6" max="6" width="7.2890625" style="3" customWidth="1"/>
    <col min="7" max="7" width="19.140625" style="2" customWidth="1"/>
    <col min="8" max="8" width="13.1484375" style="2" customWidth="1"/>
    <col min="9" max="9" width="12.6875" style="2"/>
    <col min="10" max="10" width="12.625" style="2" customWidth="1"/>
    <col min="11" max="11" width="12.6875" style="2"/>
    <col min="12" max="12" width="9" style="2"/>
    <col min="13" max="13" width="18.6171875" style="2" customWidth="1"/>
    <col min="14" max="14" width="13.0234375" style="2" customWidth="1"/>
    <col min="15" max="17" width="12.6875" style="2"/>
    <col min="18" max="18" width="9" style="2"/>
    <col min="19" max="19" width="19.53125" style="2" customWidth="1"/>
    <col min="20" max="20" width="13.359375" style="2" customWidth="1"/>
    <col min="21" max="21" width="12.6875" style="2"/>
    <col min="22" max="22" width="12.8515625" style="2" customWidth="1"/>
    <col min="23" max="23" width="12.6875" style="2"/>
    <col min="24" max="16384" width="9" style="2"/>
  </cols>
  <sheetData>
    <row r="1" spans="1:23">
      <c r="A1" s="2" t="s">
        <v>0</v>
      </c>
      <c r="B1" s="2">
        <v>1000</v>
      </c>
      <c r="C1" s="2">
        <v>1000</v>
      </c>
      <c r="D1" s="2">
        <v>1000</v>
      </c>
      <c r="E1" s="2">
        <v>1000</v>
      </c>
      <c r="G1" s="2" t="s">
        <v>0</v>
      </c>
      <c r="H1" s="2">
        <v>1000</v>
      </c>
      <c r="I1" s="2">
        <v>1000</v>
      </c>
      <c r="J1" s="2">
        <v>1000</v>
      </c>
      <c r="K1" s="2">
        <v>1000</v>
      </c>
      <c r="M1" s="2" t="s">
        <v>0</v>
      </c>
      <c r="N1" s="2">
        <v>1000</v>
      </c>
      <c r="O1" s="2">
        <v>1000</v>
      </c>
      <c r="P1" s="2">
        <v>1000</v>
      </c>
      <c r="Q1" s="2">
        <v>1000</v>
      </c>
      <c r="S1" s="2" t="s">
        <v>0</v>
      </c>
      <c r="T1" s="2">
        <v>1000</v>
      </c>
      <c r="U1" s="2">
        <v>1000</v>
      </c>
      <c r="V1" s="2">
        <v>1000</v>
      </c>
      <c r="W1" s="2">
        <v>1000</v>
      </c>
    </row>
    <row r="2" spans="1:23">
      <c r="A2" s="2" t="s">
        <v>1</v>
      </c>
      <c r="B2" s="2">
        <v>50</v>
      </c>
      <c r="C2" s="2">
        <v>50</v>
      </c>
      <c r="D2" s="2">
        <v>50</v>
      </c>
      <c r="E2" s="2">
        <v>50</v>
      </c>
      <c r="G2" s="2" t="s">
        <v>1</v>
      </c>
      <c r="H2" s="2">
        <v>50</v>
      </c>
      <c r="I2" s="2">
        <v>50</v>
      </c>
      <c r="J2" s="2">
        <v>50</v>
      </c>
      <c r="K2" s="2">
        <v>50</v>
      </c>
      <c r="M2" s="2" t="s">
        <v>1</v>
      </c>
      <c r="N2" s="2">
        <v>50</v>
      </c>
      <c r="O2" s="2">
        <v>50</v>
      </c>
      <c r="P2" s="2">
        <v>50</v>
      </c>
      <c r="Q2" s="2">
        <v>50</v>
      </c>
      <c r="S2" s="2" t="s">
        <v>1</v>
      </c>
      <c r="T2" s="2">
        <v>50</v>
      </c>
      <c r="U2" s="2">
        <v>50</v>
      </c>
      <c r="V2" s="2">
        <v>50</v>
      </c>
      <c r="W2" s="2">
        <v>50</v>
      </c>
    </row>
    <row r="3" spans="1:23">
      <c r="A3" s="2" t="s">
        <v>2</v>
      </c>
      <c r="B3" s="2">
        <v>10</v>
      </c>
      <c r="C3" s="2">
        <v>10</v>
      </c>
      <c r="D3" s="2">
        <v>10</v>
      </c>
      <c r="E3" s="2">
        <v>10</v>
      </c>
      <c r="G3" s="2" t="s">
        <v>2</v>
      </c>
      <c r="H3" s="2">
        <v>10</v>
      </c>
      <c r="I3" s="2">
        <v>10</v>
      </c>
      <c r="J3" s="2">
        <v>10</v>
      </c>
      <c r="K3" s="2">
        <v>10</v>
      </c>
      <c r="M3" s="2" t="s">
        <v>2</v>
      </c>
      <c r="N3" s="2">
        <v>10</v>
      </c>
      <c r="O3" s="2">
        <v>10</v>
      </c>
      <c r="P3" s="2">
        <v>10</v>
      </c>
      <c r="Q3" s="2">
        <v>10</v>
      </c>
      <c r="S3" s="2" t="s">
        <v>2</v>
      </c>
      <c r="T3" s="2">
        <v>10</v>
      </c>
      <c r="U3" s="2">
        <v>10</v>
      </c>
      <c r="V3" s="2">
        <v>10</v>
      </c>
      <c r="W3" s="2">
        <v>10</v>
      </c>
    </row>
    <row r="4" spans="1:23">
      <c r="A4" s="2" t="s">
        <v>3</v>
      </c>
      <c r="B4" s="2" t="s">
        <v>4</v>
      </c>
      <c r="C4" s="2" t="s">
        <v>5</v>
      </c>
      <c r="D4" s="2" t="s">
        <v>5</v>
      </c>
      <c r="E4" s="2" t="s">
        <v>5</v>
      </c>
      <c r="G4" s="2" t="s">
        <v>3</v>
      </c>
      <c r="H4" s="2" t="s">
        <v>4</v>
      </c>
      <c r="I4" s="2" t="s">
        <v>5</v>
      </c>
      <c r="J4" s="2" t="s">
        <v>5</v>
      </c>
      <c r="K4" s="2" t="s">
        <v>5</v>
      </c>
      <c r="M4" s="2" t="s">
        <v>3</v>
      </c>
      <c r="N4" s="2" t="s">
        <v>4</v>
      </c>
      <c r="O4" s="2" t="s">
        <v>6</v>
      </c>
      <c r="P4" s="2" t="s">
        <v>6</v>
      </c>
      <c r="Q4" s="2" t="s">
        <v>6</v>
      </c>
      <c r="S4" s="2" t="s">
        <v>3</v>
      </c>
      <c r="T4" s="2" t="s">
        <v>4</v>
      </c>
      <c r="U4" s="2" t="s">
        <v>6</v>
      </c>
      <c r="V4" s="2" t="s">
        <v>6</v>
      </c>
      <c r="W4" s="2" t="s">
        <v>6</v>
      </c>
    </row>
    <row r="5" spans="1:23">
      <c r="A5" s="2" t="s">
        <v>7</v>
      </c>
      <c r="B5" s="2" t="s">
        <v>8</v>
      </c>
      <c r="C5" s="4">
        <v>30</v>
      </c>
      <c r="D5" s="4">
        <v>60</v>
      </c>
      <c r="E5" s="4">
        <v>90</v>
      </c>
      <c r="F5" s="6"/>
      <c r="G5" s="2" t="s">
        <v>7</v>
      </c>
      <c r="H5" s="2" t="s">
        <v>8</v>
      </c>
      <c r="I5" s="2">
        <v>60</v>
      </c>
      <c r="J5" s="2">
        <v>60</v>
      </c>
      <c r="K5" s="2">
        <v>60</v>
      </c>
      <c r="M5" s="2" t="s">
        <v>7</v>
      </c>
      <c r="N5" s="2" t="s">
        <v>8</v>
      </c>
      <c r="O5" s="2" t="s">
        <v>8</v>
      </c>
      <c r="P5" s="2" t="s">
        <v>8</v>
      </c>
      <c r="Q5" s="2" t="s">
        <v>8</v>
      </c>
      <c r="S5" s="2" t="s">
        <v>7</v>
      </c>
      <c r="T5" s="2" t="s">
        <v>8</v>
      </c>
      <c r="U5" s="2" t="s">
        <v>8</v>
      </c>
      <c r="V5" s="2" t="s">
        <v>8</v>
      </c>
      <c r="W5" s="2" t="s">
        <v>8</v>
      </c>
    </row>
    <row r="6" spans="1:23">
      <c r="A6" s="2" t="s">
        <v>9</v>
      </c>
      <c r="B6" s="2" t="s">
        <v>8</v>
      </c>
      <c r="C6" s="2">
        <v>5</v>
      </c>
      <c r="D6" s="2">
        <v>5</v>
      </c>
      <c r="E6" s="2">
        <v>5</v>
      </c>
      <c r="G6" s="2" t="s">
        <v>9</v>
      </c>
      <c r="H6" s="2" t="s">
        <v>8</v>
      </c>
      <c r="I6" s="8">
        <v>1</v>
      </c>
      <c r="J6" s="8">
        <v>5</v>
      </c>
      <c r="K6" s="8">
        <v>10</v>
      </c>
      <c r="M6" s="2" t="s">
        <v>9</v>
      </c>
      <c r="N6" s="2" t="s">
        <v>8</v>
      </c>
      <c r="O6" s="2" t="s">
        <v>8</v>
      </c>
      <c r="P6" s="2" t="s">
        <v>8</v>
      </c>
      <c r="Q6" s="2" t="s">
        <v>8</v>
      </c>
      <c r="S6" s="2" t="s">
        <v>9</v>
      </c>
      <c r="T6" s="2" t="s">
        <v>8</v>
      </c>
      <c r="U6" s="2" t="s">
        <v>8</v>
      </c>
      <c r="V6" s="2" t="s">
        <v>8</v>
      </c>
      <c r="W6" s="2" t="s">
        <v>8</v>
      </c>
    </row>
    <row r="7" spans="1:23">
      <c r="A7" s="2" t="s">
        <v>10</v>
      </c>
      <c r="B7" s="2" t="s">
        <v>8</v>
      </c>
      <c r="C7" s="2" t="s">
        <v>8</v>
      </c>
      <c r="D7" s="2" t="s">
        <v>8</v>
      </c>
      <c r="E7" s="2" t="s">
        <v>8</v>
      </c>
      <c r="G7" s="2" t="s">
        <v>10</v>
      </c>
      <c r="H7" s="2" t="s">
        <v>8</v>
      </c>
      <c r="I7" s="2" t="s">
        <v>8</v>
      </c>
      <c r="J7" s="2" t="s">
        <v>8</v>
      </c>
      <c r="K7" s="2" t="s">
        <v>8</v>
      </c>
      <c r="M7" s="2" t="s">
        <v>10</v>
      </c>
      <c r="N7" s="2" t="s">
        <v>8</v>
      </c>
      <c r="O7" s="9">
        <v>70</v>
      </c>
      <c r="P7" s="9">
        <v>80</v>
      </c>
      <c r="Q7" s="9">
        <v>90</v>
      </c>
      <c r="S7" s="2" t="s">
        <v>10</v>
      </c>
      <c r="T7" s="2" t="s">
        <v>8</v>
      </c>
      <c r="U7" s="6">
        <v>80</v>
      </c>
      <c r="V7" s="6">
        <v>80</v>
      </c>
      <c r="W7" s="6">
        <v>80</v>
      </c>
    </row>
    <row r="8" spans="1:23">
      <c r="A8" s="2" t="s">
        <v>11</v>
      </c>
      <c r="B8" s="2" t="s">
        <v>8</v>
      </c>
      <c r="C8" s="2" t="s">
        <v>8</v>
      </c>
      <c r="D8" s="2" t="s">
        <v>8</v>
      </c>
      <c r="E8" s="2" t="s">
        <v>8</v>
      </c>
      <c r="G8" s="2" t="s">
        <v>11</v>
      </c>
      <c r="H8" s="2" t="s">
        <v>8</v>
      </c>
      <c r="I8" s="2" t="s">
        <v>8</v>
      </c>
      <c r="J8" s="2" t="s">
        <v>8</v>
      </c>
      <c r="K8" s="2" t="s">
        <v>8</v>
      </c>
      <c r="M8" s="2" t="s">
        <v>11</v>
      </c>
      <c r="N8" s="2" t="s">
        <v>8</v>
      </c>
      <c r="O8" s="2">
        <v>75</v>
      </c>
      <c r="P8" s="2">
        <v>75</v>
      </c>
      <c r="Q8" s="2">
        <v>75</v>
      </c>
      <c r="S8" s="2" t="s">
        <v>11</v>
      </c>
      <c r="T8" s="2" t="s">
        <v>8</v>
      </c>
      <c r="U8" s="10">
        <v>50</v>
      </c>
      <c r="V8" s="10">
        <v>75</v>
      </c>
      <c r="W8" s="10">
        <v>100</v>
      </c>
    </row>
    <row r="9" hidden="1" spans="2:23">
      <c r="B9" s="5">
        <v>14.8</v>
      </c>
      <c r="C9" s="5">
        <v>18.8294117647058</v>
      </c>
      <c r="D9" s="5">
        <v>23.3117647058823</v>
      </c>
      <c r="E9" s="5">
        <v>25.8921568627451</v>
      </c>
      <c r="F9" s="7"/>
      <c r="H9" s="5">
        <v>14.8</v>
      </c>
      <c r="I9" s="5">
        <v>99.5156862745098</v>
      </c>
      <c r="J9" s="5">
        <v>23.3117647058823</v>
      </c>
      <c r="K9" s="5">
        <v>19.8764705882352</v>
      </c>
      <c r="N9" s="5">
        <v>14.8</v>
      </c>
      <c r="O9" s="5">
        <v>32.3333333333333</v>
      </c>
      <c r="P9" s="5">
        <v>33.8098039215686</v>
      </c>
      <c r="Q9" s="5">
        <v>37.035294117647</v>
      </c>
      <c r="T9" s="5">
        <v>14.8</v>
      </c>
      <c r="U9" s="5">
        <v>27.6058823529411</v>
      </c>
      <c r="V9" s="5">
        <v>33.8098039215686</v>
      </c>
      <c r="W9" s="5">
        <v>40.9078431372549</v>
      </c>
    </row>
    <row r="10" hidden="1" spans="2:23">
      <c r="B10" s="5">
        <v>15.013725490196</v>
      </c>
      <c r="C10" s="5">
        <v>18.7274509803921</v>
      </c>
      <c r="D10" s="5">
        <v>21.1764705882353</v>
      </c>
      <c r="E10" s="5">
        <v>26.6745098039215</v>
      </c>
      <c r="F10" s="7"/>
      <c r="H10" s="5">
        <v>15.013725490196</v>
      </c>
      <c r="I10" s="5">
        <v>99.4862745098039</v>
      </c>
      <c r="J10" s="5">
        <v>21.1764705882353</v>
      </c>
      <c r="K10" s="5">
        <v>18.3098039215686</v>
      </c>
      <c r="N10" s="5">
        <v>15.013725490196</v>
      </c>
      <c r="O10" s="5">
        <v>31.2392156862745</v>
      </c>
      <c r="P10" s="5">
        <v>34.9274509803921</v>
      </c>
      <c r="Q10" s="5">
        <v>36.1607843137255</v>
      </c>
      <c r="T10" s="5">
        <v>15.013725490196</v>
      </c>
      <c r="U10" s="5">
        <v>27.7274509803921</v>
      </c>
      <c r="V10" s="5">
        <v>34.9274509803921</v>
      </c>
      <c r="W10" s="5">
        <v>40.2980392156862</v>
      </c>
    </row>
    <row r="11" hidden="1" spans="2:23">
      <c r="B11" s="5">
        <v>15.3019607843137</v>
      </c>
      <c r="C11" s="5">
        <v>18.9607843137254</v>
      </c>
      <c r="D11" s="5">
        <v>22.4509803921568</v>
      </c>
      <c r="E11" s="5">
        <v>29.6058823529411</v>
      </c>
      <c r="F11" s="7"/>
      <c r="H11" s="5">
        <v>15.3019607843137</v>
      </c>
      <c r="I11" s="5">
        <v>99.5960784313725</v>
      </c>
      <c r="J11" s="5">
        <v>22.4509803921568</v>
      </c>
      <c r="K11" s="5">
        <v>20.5431372549019</v>
      </c>
      <c r="N11" s="5">
        <v>15.3019607843137</v>
      </c>
      <c r="O11" s="5">
        <v>32.3470588235294</v>
      </c>
      <c r="P11" s="5">
        <v>34.4607843137255</v>
      </c>
      <c r="Q11" s="5">
        <v>37.2666666666666</v>
      </c>
      <c r="T11" s="5">
        <v>15.3019607843137</v>
      </c>
      <c r="U11" s="5">
        <v>28.4411764705882</v>
      </c>
      <c r="V11" s="5">
        <v>34.4607843137255</v>
      </c>
      <c r="W11" s="5">
        <v>40.778431372549</v>
      </c>
    </row>
    <row r="12" hidden="1" spans="2:23">
      <c r="B12" s="5">
        <v>15.1607843137254</v>
      </c>
      <c r="C12" s="5">
        <v>19.0960784313725</v>
      </c>
      <c r="D12" s="5">
        <v>22.0235294117646</v>
      </c>
      <c r="E12" s="5">
        <v>26.7058823529411</v>
      </c>
      <c r="F12" s="7"/>
      <c r="H12" s="5">
        <v>15.1607843137254</v>
      </c>
      <c r="I12" s="5">
        <v>98.8490196078431</v>
      </c>
      <c r="J12" s="5">
        <v>22.0235294117646</v>
      </c>
      <c r="K12" s="5">
        <v>18.7117647058823</v>
      </c>
      <c r="N12" s="5">
        <v>15.1607843137254</v>
      </c>
      <c r="O12" s="5">
        <v>32.956862745098</v>
      </c>
      <c r="P12" s="5">
        <v>35.0764705882352</v>
      </c>
      <c r="Q12" s="5">
        <v>36.9235294117647</v>
      </c>
      <c r="T12" s="5">
        <v>15.1607843137254</v>
      </c>
      <c r="U12" s="5">
        <v>27.1254901960784</v>
      </c>
      <c r="V12" s="5">
        <v>35.0764705882352</v>
      </c>
      <c r="W12" s="5">
        <v>40.135294117647</v>
      </c>
    </row>
    <row r="13" hidden="1" spans="2:23">
      <c r="B13" s="5">
        <v>15.2215686274509</v>
      </c>
      <c r="C13" s="5">
        <v>17.8450980392156</v>
      </c>
      <c r="D13" s="5">
        <v>24.3156862745097</v>
      </c>
      <c r="E13" s="5">
        <v>30.3549019607843</v>
      </c>
      <c r="F13" s="7"/>
      <c r="H13" s="5">
        <v>15.2215686274509</v>
      </c>
      <c r="I13" s="5">
        <v>99.5019607843137</v>
      </c>
      <c r="J13" s="5">
        <v>24.3156862745097</v>
      </c>
      <c r="K13" s="5">
        <v>20.0215686274509</v>
      </c>
      <c r="N13" s="5">
        <v>15.2215686274509</v>
      </c>
      <c r="O13" s="5">
        <v>32.3490196078431</v>
      </c>
      <c r="P13" s="5">
        <v>34.2372549019607</v>
      </c>
      <c r="Q13" s="5">
        <v>36.0176470588235</v>
      </c>
      <c r="T13" s="5">
        <v>15.2215686274509</v>
      </c>
      <c r="U13" s="5">
        <v>28.0588235294117</v>
      </c>
      <c r="V13" s="5">
        <v>34.2372549019607</v>
      </c>
      <c r="W13" s="5">
        <v>40.1627450980392</v>
      </c>
    </row>
    <row r="14" hidden="1" spans="2:23">
      <c r="B14" s="5">
        <v>14.6823529411764</v>
      </c>
      <c r="C14" s="5">
        <v>17.9745098039215</v>
      </c>
      <c r="D14" s="5">
        <v>23.8745098039215</v>
      </c>
      <c r="E14" s="5">
        <v>29.856862745098</v>
      </c>
      <c r="F14" s="7"/>
      <c r="H14" s="5">
        <v>14.6823529411764</v>
      </c>
      <c r="I14" s="5">
        <v>99.6039215686274</v>
      </c>
      <c r="J14" s="5">
        <v>23.8745098039215</v>
      </c>
      <c r="K14" s="5">
        <v>20.4411764705882</v>
      </c>
      <c r="N14" s="5">
        <v>14.6823529411764</v>
      </c>
      <c r="O14" s="5">
        <v>31.1980392156862</v>
      </c>
      <c r="P14" s="5">
        <v>34.7960784313725</v>
      </c>
      <c r="Q14" s="5">
        <v>36.992156862745</v>
      </c>
      <c r="T14" s="5">
        <v>14.6823529411764</v>
      </c>
      <c r="U14" s="5">
        <v>29.4450980392156</v>
      </c>
      <c r="V14" s="5">
        <v>34.7960784313725</v>
      </c>
      <c r="W14" s="5">
        <v>40.5647058823529</v>
      </c>
    </row>
    <row r="15" hidden="1" spans="2:23">
      <c r="B15" s="5">
        <v>14.9470588235294</v>
      </c>
      <c r="C15" s="5">
        <v>17.6333333333333</v>
      </c>
      <c r="D15" s="5">
        <v>21.2392156862745</v>
      </c>
      <c r="E15" s="5">
        <v>29.0117647058823</v>
      </c>
      <c r="F15" s="7"/>
      <c r="H15" s="5">
        <v>14.9470588235294</v>
      </c>
      <c r="I15" s="5">
        <v>99.5745098039215</v>
      </c>
      <c r="J15" s="5">
        <v>21.2392156862745</v>
      </c>
      <c r="K15" s="5">
        <v>19.6450980392156</v>
      </c>
      <c r="N15" s="5">
        <v>14.9470588235294</v>
      </c>
      <c r="O15" s="5">
        <v>31.8509803921568</v>
      </c>
      <c r="P15" s="5">
        <v>33.8333333333333</v>
      </c>
      <c r="Q15" s="5">
        <v>36.3254901960784</v>
      </c>
      <c r="T15" s="5">
        <v>14.9470588235294</v>
      </c>
      <c r="U15" s="5">
        <v>28.2490196078431</v>
      </c>
      <c r="V15" s="5">
        <v>33.8333333333333</v>
      </c>
      <c r="W15" s="5">
        <v>39.6254901960784</v>
      </c>
    </row>
    <row r="16" hidden="1" spans="2:23">
      <c r="B16" s="5">
        <v>14.8509803921568</v>
      </c>
      <c r="C16" s="5">
        <v>17.9411764705882</v>
      </c>
      <c r="D16" s="5">
        <v>21.8607843137254</v>
      </c>
      <c r="E16" s="5">
        <v>28.5156862745098</v>
      </c>
      <c r="F16" s="7"/>
      <c r="H16" s="5">
        <v>14.8509803921568</v>
      </c>
      <c r="I16" s="5">
        <v>99.4960784313725</v>
      </c>
      <c r="J16" s="5">
        <v>21.8607843137254</v>
      </c>
      <c r="K16" s="5">
        <v>18.3450980392156</v>
      </c>
      <c r="N16" s="5">
        <v>14.8509803921568</v>
      </c>
      <c r="O16" s="5">
        <v>32.1666666666666</v>
      </c>
      <c r="P16" s="5">
        <v>35.0745098039215</v>
      </c>
      <c r="Q16" s="5">
        <v>36.6274509803921</v>
      </c>
      <c r="T16" s="5">
        <v>14.8509803921568</v>
      </c>
      <c r="U16" s="5">
        <v>28.4549019607843</v>
      </c>
      <c r="V16" s="5">
        <v>35.0745098039215</v>
      </c>
      <c r="W16" s="5">
        <v>39.6274509803921</v>
      </c>
    </row>
    <row r="17" hidden="1" spans="2:23">
      <c r="B17" s="5">
        <v>14.6588235294117</v>
      </c>
      <c r="C17" s="5">
        <v>17.3431372549019</v>
      </c>
      <c r="D17" s="5">
        <v>22.2666666666666</v>
      </c>
      <c r="E17" s="5">
        <v>29.3588235294117</v>
      </c>
      <c r="F17" s="7"/>
      <c r="H17" s="5">
        <v>14.6588235294117</v>
      </c>
      <c r="I17" s="5">
        <v>99.4843137254902</v>
      </c>
      <c r="J17" s="5">
        <v>22.2666666666666</v>
      </c>
      <c r="K17" s="5">
        <v>19.2509803921568</v>
      </c>
      <c r="N17" s="5">
        <v>14.6588235294117</v>
      </c>
      <c r="O17" s="5">
        <v>32.4450980392156</v>
      </c>
      <c r="P17" s="5">
        <v>33.2372549019607</v>
      </c>
      <c r="Q17" s="5">
        <v>36.7529411764705</v>
      </c>
      <c r="T17" s="5">
        <v>14.6588235294117</v>
      </c>
      <c r="U17" s="5">
        <v>28.2235294117647</v>
      </c>
      <c r="V17" s="5">
        <v>33.2372549019607</v>
      </c>
      <c r="W17" s="5">
        <v>40.3215686274509</v>
      </c>
    </row>
    <row r="18" hidden="1" spans="2:23">
      <c r="B18" s="5">
        <v>14.7882352941176</v>
      </c>
      <c r="C18" s="5">
        <v>18.3823529411764</v>
      </c>
      <c r="D18" s="5">
        <v>21.4745098039215</v>
      </c>
      <c r="E18" s="5">
        <v>28.5529411764705</v>
      </c>
      <c r="F18" s="7"/>
      <c r="H18" s="5">
        <v>14.7882352941176</v>
      </c>
      <c r="I18" s="5">
        <v>99.4823529411764</v>
      </c>
      <c r="J18" s="5">
        <v>21.4745098039215</v>
      </c>
      <c r="K18" s="5">
        <v>19.6294117647058</v>
      </c>
      <c r="N18" s="5">
        <v>14.7882352941176</v>
      </c>
      <c r="O18" s="5">
        <v>32.4196078431372</v>
      </c>
      <c r="P18" s="5">
        <v>32.9254901960784</v>
      </c>
      <c r="Q18" s="5">
        <v>36.6039215686274</v>
      </c>
      <c r="T18" s="5">
        <v>14.7882352941176</v>
      </c>
      <c r="U18" s="5">
        <v>27.1980392156862</v>
      </c>
      <c r="V18" s="5">
        <v>32.9254901960784</v>
      </c>
      <c r="W18" s="5">
        <v>42.1411764705882</v>
      </c>
    </row>
    <row r="19" s="1" customFormat="1" spans="1:23">
      <c r="A19" s="1" t="s">
        <v>12</v>
      </c>
      <c r="B19" s="1">
        <f>AVERAGE(B9:B18)</f>
        <v>14.9425490196078</v>
      </c>
      <c r="C19" s="1">
        <f t="shared" ref="C19:W19" si="0">AVERAGE(C9:C18)</f>
        <v>18.2733333333333</v>
      </c>
      <c r="D19" s="1">
        <f t="shared" si="0"/>
        <v>22.3994117647058</v>
      </c>
      <c r="E19" s="1">
        <f t="shared" si="0"/>
        <v>28.4529411764705</v>
      </c>
      <c r="G19" s="1" t="s">
        <v>12</v>
      </c>
      <c r="H19" s="1">
        <f t="shared" si="0"/>
        <v>14.9425490196078</v>
      </c>
      <c r="I19" s="1">
        <f t="shared" si="0"/>
        <v>99.4590196078431</v>
      </c>
      <c r="J19" s="1">
        <f t="shared" si="0"/>
        <v>22.3994117647058</v>
      </c>
      <c r="K19" s="1">
        <f t="shared" si="0"/>
        <v>19.4774509803921</v>
      </c>
      <c r="M19" s="1" t="s">
        <v>12</v>
      </c>
      <c r="N19" s="1">
        <f t="shared" si="0"/>
        <v>14.9425490196078</v>
      </c>
      <c r="O19" s="1">
        <f t="shared" si="0"/>
        <v>32.1305882352941</v>
      </c>
      <c r="P19" s="1">
        <f t="shared" si="0"/>
        <v>34.2378431372548</v>
      </c>
      <c r="Q19" s="1">
        <f t="shared" si="0"/>
        <v>36.6705882352941</v>
      </c>
      <c r="S19" s="1" t="s">
        <v>12</v>
      </c>
      <c r="T19" s="1">
        <f t="shared" si="0"/>
        <v>14.9425490196078</v>
      </c>
      <c r="U19" s="1">
        <f t="shared" si="0"/>
        <v>28.0529411764705</v>
      </c>
      <c r="V19" s="1">
        <f t="shared" si="0"/>
        <v>34.2378431372548</v>
      </c>
      <c r="W19" s="1">
        <f t="shared" si="0"/>
        <v>40.4562745098039</v>
      </c>
    </row>
    <row r="20" s="1" customFormat="1" spans="1:23">
      <c r="A20" s="1" t="s">
        <v>13</v>
      </c>
      <c r="B20" s="1">
        <f>VAR(B9:B18)</f>
        <v>0.0511624161647213</v>
      </c>
      <c r="C20" s="1">
        <f t="shared" ref="C20:W20" si="1">VAR(C9:C18)</f>
        <v>0.370522619505311</v>
      </c>
      <c r="D20" s="1">
        <f t="shared" si="1"/>
        <v>1.20324238540728</v>
      </c>
      <c r="E20" s="1">
        <f t="shared" si="1"/>
        <v>2.31524627280106</v>
      </c>
      <c r="G20" s="1" t="s">
        <v>13</v>
      </c>
      <c r="H20" s="1">
        <f t="shared" si="1"/>
        <v>0.0511624161647213</v>
      </c>
      <c r="I20" s="1">
        <f t="shared" si="1"/>
        <v>0.0481750181554089</v>
      </c>
      <c r="J20" s="1">
        <f t="shared" si="1"/>
        <v>1.20324238540728</v>
      </c>
      <c r="K20" s="1">
        <f t="shared" si="1"/>
        <v>0.650457729932927</v>
      </c>
      <c r="M20" s="1" t="s">
        <v>13</v>
      </c>
      <c r="N20" s="1">
        <f t="shared" si="1"/>
        <v>0.0511624161647213</v>
      </c>
      <c r="O20" s="1">
        <f t="shared" si="1"/>
        <v>0.304947840574138</v>
      </c>
      <c r="P20" s="1">
        <f t="shared" si="1"/>
        <v>0.590054295356476</v>
      </c>
      <c r="Q20" s="1">
        <f t="shared" si="1"/>
        <v>0.163790849673187</v>
      </c>
      <c r="S20" s="1" t="s">
        <v>13</v>
      </c>
      <c r="T20" s="1">
        <f t="shared" si="1"/>
        <v>0.0511624161647213</v>
      </c>
      <c r="U20" s="1">
        <f t="shared" si="1"/>
        <v>0.468312187620146</v>
      </c>
      <c r="V20" s="1">
        <f t="shared" si="1"/>
        <v>0.590054295356476</v>
      </c>
      <c r="W20" s="1">
        <f t="shared" si="1"/>
        <v>0.529763808791501</v>
      </c>
    </row>
    <row r="21" s="1" customFormat="1" spans="1:23">
      <c r="A21" s="1" t="s">
        <v>14</v>
      </c>
      <c r="B21" s="1">
        <f>STDEVPA(B9:B18)</f>
        <v>0.214583723866115</v>
      </c>
      <c r="C21" s="1">
        <f t="shared" ref="C21:W21" si="2">STDEVPA(C9:C18)</f>
        <v>0.577468923453704</v>
      </c>
      <c r="D21" s="1">
        <f t="shared" si="2"/>
        <v>1.0406335314925</v>
      </c>
      <c r="E21" s="1">
        <f t="shared" si="2"/>
        <v>1.44351018199421</v>
      </c>
      <c r="G21" s="1" t="s">
        <v>14</v>
      </c>
      <c r="H21" s="1">
        <f t="shared" si="2"/>
        <v>0.214583723866115</v>
      </c>
      <c r="I21" s="1">
        <f t="shared" si="2"/>
        <v>0.208224677547758</v>
      </c>
      <c r="J21" s="1">
        <f t="shared" si="2"/>
        <v>1.0406335314925</v>
      </c>
      <c r="K21" s="1">
        <f t="shared" si="2"/>
        <v>0.76512218432067</v>
      </c>
      <c r="M21" s="1" t="s">
        <v>14</v>
      </c>
      <c r="N21" s="1">
        <f t="shared" si="2"/>
        <v>0.214583723866115</v>
      </c>
      <c r="O21" s="1">
        <f t="shared" si="2"/>
        <v>0.52388267438113</v>
      </c>
      <c r="P21" s="1">
        <f t="shared" si="2"/>
        <v>0.728730996884878</v>
      </c>
      <c r="Q21" s="1">
        <f t="shared" si="2"/>
        <v>0.383942397640412</v>
      </c>
      <c r="S21" s="1" t="s">
        <v>14</v>
      </c>
      <c r="T21" s="1">
        <f t="shared" si="2"/>
        <v>0.214583723866115</v>
      </c>
      <c r="U21" s="1">
        <f t="shared" si="2"/>
        <v>0.649215656664356</v>
      </c>
      <c r="V21" s="1">
        <f t="shared" si="2"/>
        <v>0.728730996884878</v>
      </c>
      <c r="W21" s="1">
        <f t="shared" si="2"/>
        <v>0.69049795648673</v>
      </c>
    </row>
    <row r="25" spans="1:23">
      <c r="A25" s="2" t="s">
        <v>0</v>
      </c>
      <c r="B25" s="2">
        <v>1000</v>
      </c>
      <c r="C25" s="2">
        <v>1000</v>
      </c>
      <c r="D25" s="2">
        <v>1000</v>
      </c>
      <c r="E25" s="2">
        <v>1000</v>
      </c>
      <c r="G25" s="2" t="s">
        <v>0</v>
      </c>
      <c r="H25" s="2">
        <v>1000</v>
      </c>
      <c r="I25" s="2">
        <v>1000</v>
      </c>
      <c r="J25" s="2">
        <v>1000</v>
      </c>
      <c r="K25" s="2">
        <v>1000</v>
      </c>
      <c r="M25" s="2" t="s">
        <v>0</v>
      </c>
      <c r="N25" s="2">
        <v>1000</v>
      </c>
      <c r="O25" s="2">
        <v>1000</v>
      </c>
      <c r="P25" s="2">
        <v>1000</v>
      </c>
      <c r="Q25" s="2">
        <v>1000</v>
      </c>
      <c r="S25" s="2" t="s">
        <v>0</v>
      </c>
      <c r="T25" s="2">
        <v>1000</v>
      </c>
      <c r="U25" s="2">
        <v>1000</v>
      </c>
      <c r="V25" s="2">
        <v>1000</v>
      </c>
      <c r="W25" s="2">
        <v>1000</v>
      </c>
    </row>
    <row r="26" spans="1:23">
      <c r="A26" s="2" t="s">
        <v>1</v>
      </c>
      <c r="B26" s="2">
        <v>50</v>
      </c>
      <c r="C26" s="2">
        <v>50</v>
      </c>
      <c r="D26" s="2">
        <v>50</v>
      </c>
      <c r="E26" s="2">
        <v>50</v>
      </c>
      <c r="G26" s="2" t="s">
        <v>1</v>
      </c>
      <c r="H26" s="2">
        <v>50</v>
      </c>
      <c r="I26" s="2">
        <v>50</v>
      </c>
      <c r="J26" s="2">
        <v>50</v>
      </c>
      <c r="K26" s="2">
        <v>50</v>
      </c>
      <c r="M26" s="2" t="s">
        <v>1</v>
      </c>
      <c r="N26" s="2">
        <v>50</v>
      </c>
      <c r="O26" s="2">
        <v>50</v>
      </c>
      <c r="P26" s="2">
        <v>50</v>
      </c>
      <c r="Q26" s="2">
        <v>50</v>
      </c>
      <c r="S26" s="2" t="s">
        <v>1</v>
      </c>
      <c r="T26" s="2">
        <v>50</v>
      </c>
      <c r="U26" s="2">
        <v>50</v>
      </c>
      <c r="V26" s="2">
        <v>50</v>
      </c>
      <c r="W26" s="2">
        <v>50</v>
      </c>
    </row>
    <row r="27" spans="1:23">
      <c r="A27" s="2" t="s">
        <v>2</v>
      </c>
      <c r="B27" s="2">
        <v>30</v>
      </c>
      <c r="C27" s="2">
        <v>30</v>
      </c>
      <c r="D27" s="2">
        <v>30</v>
      </c>
      <c r="E27" s="2">
        <v>30</v>
      </c>
      <c r="G27" s="2" t="s">
        <v>2</v>
      </c>
      <c r="H27" s="2">
        <v>30</v>
      </c>
      <c r="I27" s="2">
        <v>30</v>
      </c>
      <c r="J27" s="2">
        <v>30</v>
      </c>
      <c r="K27" s="2">
        <v>30</v>
      </c>
      <c r="M27" s="2" t="s">
        <v>2</v>
      </c>
      <c r="N27" s="2">
        <v>30</v>
      </c>
      <c r="O27" s="2">
        <v>30</v>
      </c>
      <c r="P27" s="2">
        <v>30</v>
      </c>
      <c r="Q27" s="2">
        <v>30</v>
      </c>
      <c r="S27" s="2" t="s">
        <v>2</v>
      </c>
      <c r="T27" s="2">
        <v>30</v>
      </c>
      <c r="U27" s="2">
        <v>30</v>
      </c>
      <c r="V27" s="2">
        <v>30</v>
      </c>
      <c r="W27" s="2">
        <v>30</v>
      </c>
    </row>
    <row r="28" spans="1:23">
      <c r="A28" s="2" t="s">
        <v>3</v>
      </c>
      <c r="B28" s="2" t="s">
        <v>4</v>
      </c>
      <c r="C28" s="2" t="s">
        <v>5</v>
      </c>
      <c r="D28" s="2" t="s">
        <v>5</v>
      </c>
      <c r="E28" s="2" t="s">
        <v>5</v>
      </c>
      <c r="G28" s="2" t="s">
        <v>3</v>
      </c>
      <c r="H28" s="2" t="s">
        <v>4</v>
      </c>
      <c r="I28" s="2" t="s">
        <v>5</v>
      </c>
      <c r="J28" s="2" t="s">
        <v>5</v>
      </c>
      <c r="K28" s="2" t="s">
        <v>5</v>
      </c>
      <c r="M28" s="2" t="s">
        <v>3</v>
      </c>
      <c r="N28" s="2" t="s">
        <v>4</v>
      </c>
      <c r="O28" s="2" t="s">
        <v>6</v>
      </c>
      <c r="P28" s="2" t="s">
        <v>6</v>
      </c>
      <c r="Q28" s="2" t="s">
        <v>6</v>
      </c>
      <c r="S28" s="2" t="s">
        <v>3</v>
      </c>
      <c r="T28" s="2" t="s">
        <v>4</v>
      </c>
      <c r="U28" s="2" t="s">
        <v>6</v>
      </c>
      <c r="V28" s="2" t="s">
        <v>6</v>
      </c>
      <c r="W28" s="2" t="s">
        <v>6</v>
      </c>
    </row>
    <row r="29" spans="1:23">
      <c r="A29" s="2" t="s">
        <v>7</v>
      </c>
      <c r="B29" s="2" t="s">
        <v>8</v>
      </c>
      <c r="C29" s="4">
        <v>30</v>
      </c>
      <c r="D29" s="4">
        <v>60</v>
      </c>
      <c r="E29" s="4">
        <v>90</v>
      </c>
      <c r="F29" s="6"/>
      <c r="G29" s="2" t="s">
        <v>7</v>
      </c>
      <c r="H29" s="2" t="s">
        <v>8</v>
      </c>
      <c r="I29" s="6">
        <v>60</v>
      </c>
      <c r="J29" s="6">
        <v>60</v>
      </c>
      <c r="K29" s="6">
        <v>60</v>
      </c>
      <c r="M29" s="2" t="s">
        <v>7</v>
      </c>
      <c r="N29" s="2" t="s">
        <v>8</v>
      </c>
      <c r="O29" s="2" t="s">
        <v>8</v>
      </c>
      <c r="P29" s="2" t="s">
        <v>8</v>
      </c>
      <c r="Q29" s="2" t="s">
        <v>8</v>
      </c>
      <c r="S29" s="2" t="s">
        <v>7</v>
      </c>
      <c r="T29" s="2" t="s">
        <v>8</v>
      </c>
      <c r="U29" s="2" t="s">
        <v>8</v>
      </c>
      <c r="V29" s="2" t="s">
        <v>8</v>
      </c>
      <c r="W29" s="2" t="s">
        <v>8</v>
      </c>
    </row>
    <row r="30" spans="1:23">
      <c r="A30" s="2" t="s">
        <v>9</v>
      </c>
      <c r="B30" s="2" t="s">
        <v>8</v>
      </c>
      <c r="C30" s="2">
        <v>5</v>
      </c>
      <c r="D30" s="2">
        <v>5</v>
      </c>
      <c r="E30" s="2">
        <v>5</v>
      </c>
      <c r="G30" s="2" t="s">
        <v>9</v>
      </c>
      <c r="H30" s="2" t="s">
        <v>8</v>
      </c>
      <c r="I30" s="8">
        <v>1</v>
      </c>
      <c r="J30" s="8">
        <v>5</v>
      </c>
      <c r="K30" s="8">
        <v>10</v>
      </c>
      <c r="M30" s="2" t="s">
        <v>9</v>
      </c>
      <c r="N30" s="2" t="s">
        <v>8</v>
      </c>
      <c r="O30" s="2" t="s">
        <v>8</v>
      </c>
      <c r="P30" s="2" t="s">
        <v>8</v>
      </c>
      <c r="Q30" s="2" t="s">
        <v>8</v>
      </c>
      <c r="S30" s="2" t="s">
        <v>9</v>
      </c>
      <c r="T30" s="2" t="s">
        <v>8</v>
      </c>
      <c r="U30" s="2" t="s">
        <v>8</v>
      </c>
      <c r="V30" s="2" t="s">
        <v>8</v>
      </c>
      <c r="W30" s="2" t="s">
        <v>8</v>
      </c>
    </row>
    <row r="31" spans="1:23">
      <c r="A31" s="2" t="s">
        <v>10</v>
      </c>
      <c r="B31" s="2" t="s">
        <v>8</v>
      </c>
      <c r="C31" s="2" t="s">
        <v>8</v>
      </c>
      <c r="D31" s="2" t="s">
        <v>8</v>
      </c>
      <c r="E31" s="2" t="s">
        <v>8</v>
      </c>
      <c r="G31" s="2" t="s">
        <v>10</v>
      </c>
      <c r="H31" s="2" t="s">
        <v>8</v>
      </c>
      <c r="I31" s="2" t="s">
        <v>8</v>
      </c>
      <c r="J31" s="2" t="s">
        <v>8</v>
      </c>
      <c r="K31" s="2" t="s">
        <v>8</v>
      </c>
      <c r="M31" s="2" t="s">
        <v>10</v>
      </c>
      <c r="N31" s="2" t="s">
        <v>8</v>
      </c>
      <c r="O31" s="9">
        <v>70</v>
      </c>
      <c r="P31" s="9">
        <v>80</v>
      </c>
      <c r="Q31" s="9">
        <v>90</v>
      </c>
      <c r="S31" s="2" t="s">
        <v>10</v>
      </c>
      <c r="T31" s="2" t="s">
        <v>8</v>
      </c>
      <c r="U31" s="2">
        <v>80</v>
      </c>
      <c r="V31" s="6">
        <v>80</v>
      </c>
      <c r="W31" s="2">
        <v>80</v>
      </c>
    </row>
    <row r="32" spans="1:23">
      <c r="A32" s="2" t="s">
        <v>11</v>
      </c>
      <c r="B32" s="2" t="s">
        <v>8</v>
      </c>
      <c r="C32" s="2" t="s">
        <v>8</v>
      </c>
      <c r="D32" s="2" t="s">
        <v>8</v>
      </c>
      <c r="E32" s="2" t="s">
        <v>8</v>
      </c>
      <c r="G32" s="2" t="s">
        <v>11</v>
      </c>
      <c r="H32" s="2" t="s">
        <v>8</v>
      </c>
      <c r="I32" s="2" t="s">
        <v>8</v>
      </c>
      <c r="J32" s="2" t="s">
        <v>8</v>
      </c>
      <c r="K32" s="2" t="s">
        <v>8</v>
      </c>
      <c r="M32" s="2" t="s">
        <v>11</v>
      </c>
      <c r="N32" s="2" t="s">
        <v>8</v>
      </c>
      <c r="O32" s="2">
        <v>75</v>
      </c>
      <c r="P32" s="2">
        <v>75</v>
      </c>
      <c r="Q32" s="2">
        <v>75</v>
      </c>
      <c r="S32" s="2" t="s">
        <v>11</v>
      </c>
      <c r="T32" s="2" t="s">
        <v>8</v>
      </c>
      <c r="U32" s="10">
        <v>50</v>
      </c>
      <c r="V32" s="10">
        <v>75</v>
      </c>
      <c r="W32" s="10">
        <v>100</v>
      </c>
    </row>
    <row r="33" hidden="1" spans="2:23">
      <c r="B33" s="5">
        <v>8.63529411764706</v>
      </c>
      <c r="C33" s="5">
        <v>10.2823529411764</v>
      </c>
      <c r="D33" s="5">
        <v>13.9607843137254</v>
      </c>
      <c r="E33" s="5">
        <v>15.5509803921568</v>
      </c>
      <c r="F33" s="7"/>
      <c r="H33" s="5">
        <v>8.63529411764706</v>
      </c>
      <c r="I33" s="5">
        <v>40.292156862745</v>
      </c>
      <c r="J33" s="5">
        <v>13.9607843137254</v>
      </c>
      <c r="K33" s="5">
        <v>11.4294117647058</v>
      </c>
      <c r="N33" s="5">
        <v>8.63529411764706</v>
      </c>
      <c r="O33" s="5">
        <v>25.4705882352941</v>
      </c>
      <c r="P33" s="5">
        <v>29.4333333333333</v>
      </c>
      <c r="Q33" s="5">
        <v>31.3627450980392</v>
      </c>
      <c r="T33" s="5">
        <v>8.63529411764706</v>
      </c>
      <c r="U33" s="5">
        <v>22.0039215686274</v>
      </c>
      <c r="V33" s="5">
        <v>29.4333333333333</v>
      </c>
      <c r="W33" s="5">
        <v>35.7450980392156</v>
      </c>
    </row>
    <row r="34" hidden="1" spans="2:23">
      <c r="B34" s="5">
        <v>8.4078431372549</v>
      </c>
      <c r="C34" s="5">
        <v>11.2764705882352</v>
      </c>
      <c r="D34" s="5">
        <v>13.4078431372549</v>
      </c>
      <c r="E34" s="5">
        <v>16.9901960784313</v>
      </c>
      <c r="F34" s="7"/>
      <c r="H34" s="5">
        <v>8.4078431372549</v>
      </c>
      <c r="I34" s="5">
        <v>39.1294117647058</v>
      </c>
      <c r="J34" s="5">
        <v>13.4078431372549</v>
      </c>
      <c r="K34" s="5">
        <v>10.8274509803921</v>
      </c>
      <c r="N34" s="5">
        <v>8.4078431372549</v>
      </c>
      <c r="O34" s="5">
        <v>26.4019607843137</v>
      </c>
      <c r="P34" s="5">
        <v>28.7901960784313</v>
      </c>
      <c r="Q34" s="5">
        <v>30.2745098039215</v>
      </c>
      <c r="T34" s="5">
        <v>8.4078431372549</v>
      </c>
      <c r="U34" s="5">
        <v>23.3215686274509</v>
      </c>
      <c r="V34" s="5">
        <v>28.7901960784313</v>
      </c>
      <c r="W34" s="5">
        <v>35.2372549019607</v>
      </c>
    </row>
    <row r="35" hidden="1" spans="2:23">
      <c r="B35" s="5">
        <v>8.9</v>
      </c>
      <c r="C35" s="5">
        <v>10.9254901960784</v>
      </c>
      <c r="D35" s="5">
        <v>13.2980392156862</v>
      </c>
      <c r="E35" s="5">
        <v>16.7117647058823</v>
      </c>
      <c r="F35" s="7"/>
      <c r="H35" s="5">
        <v>8.9</v>
      </c>
      <c r="I35" s="5">
        <v>39.9450980392156</v>
      </c>
      <c r="J35" s="5">
        <v>13.2980392156862</v>
      </c>
      <c r="K35" s="5">
        <v>11.3803921568627</v>
      </c>
      <c r="N35" s="5">
        <v>8.9</v>
      </c>
      <c r="O35" s="5">
        <v>26.2686274509803</v>
      </c>
      <c r="P35" s="5">
        <v>27.935294117647</v>
      </c>
      <c r="Q35" s="5">
        <v>31.335294117647</v>
      </c>
      <c r="T35" s="5">
        <v>8.9</v>
      </c>
      <c r="U35" s="5">
        <v>22.3039215686274</v>
      </c>
      <c r="V35" s="5">
        <v>27.935294117647</v>
      </c>
      <c r="W35" s="5">
        <v>34.8039215686274</v>
      </c>
    </row>
    <row r="36" hidden="1" spans="2:23">
      <c r="B36" s="5">
        <v>8.49607843137254</v>
      </c>
      <c r="C36" s="5">
        <v>10.9490196078431</v>
      </c>
      <c r="D36" s="5">
        <v>13.5588235294117</v>
      </c>
      <c r="E36" s="5">
        <v>16.4823529411764</v>
      </c>
      <c r="F36" s="7"/>
      <c r="H36" s="5">
        <v>8.49607843137254</v>
      </c>
      <c r="I36" s="5">
        <v>39.2431372549019</v>
      </c>
      <c r="J36" s="5">
        <v>13.5588235294117</v>
      </c>
      <c r="K36" s="5">
        <v>10.956862745098</v>
      </c>
      <c r="N36" s="5">
        <v>8.49607843137254</v>
      </c>
      <c r="O36" s="5">
        <v>26.4686274509803</v>
      </c>
      <c r="P36" s="5">
        <v>29.0294117647058</v>
      </c>
      <c r="Q36" s="5">
        <v>31.6588235294117</v>
      </c>
      <c r="T36" s="5">
        <v>8.49607843137254</v>
      </c>
      <c r="U36" s="5">
        <v>22.0470588235294</v>
      </c>
      <c r="V36" s="5">
        <v>29.0294117647058</v>
      </c>
      <c r="W36" s="5">
        <v>34.6450980392156</v>
      </c>
    </row>
    <row r="37" hidden="1" spans="2:23">
      <c r="B37" s="5">
        <v>8.5235294117647</v>
      </c>
      <c r="C37" s="5">
        <v>11.2372549019607</v>
      </c>
      <c r="D37" s="5">
        <v>14.9686274509803</v>
      </c>
      <c r="E37" s="5">
        <v>16.2294117647058</v>
      </c>
      <c r="F37" s="7"/>
      <c r="H37" s="5">
        <v>8.5235294117647</v>
      </c>
      <c r="I37" s="5">
        <v>39.978431372549</v>
      </c>
      <c r="J37" s="5">
        <v>14.9686274509803</v>
      </c>
      <c r="K37" s="5">
        <v>11.9215686274509</v>
      </c>
      <c r="N37" s="5">
        <v>8.5235294117647</v>
      </c>
      <c r="O37" s="5">
        <v>26.2509803921568</v>
      </c>
      <c r="P37" s="5">
        <v>28.3470588235294</v>
      </c>
      <c r="Q37" s="5">
        <v>30.6039215686274</v>
      </c>
      <c r="T37" s="5">
        <v>8.5235294117647</v>
      </c>
      <c r="U37" s="5">
        <v>22.0764705882352</v>
      </c>
      <c r="V37" s="5">
        <v>28.3470588235294</v>
      </c>
      <c r="W37" s="5">
        <v>34.8588235294117</v>
      </c>
    </row>
    <row r="38" hidden="1" spans="2:23">
      <c r="B38" s="5">
        <v>8.62352941176471</v>
      </c>
      <c r="C38" s="5">
        <v>10.4019607843137</v>
      </c>
      <c r="D38" s="5">
        <v>13.4274509803921</v>
      </c>
      <c r="E38" s="5">
        <v>17.3333333333333</v>
      </c>
      <c r="F38" s="7"/>
      <c r="H38" s="5">
        <v>8.62352941176471</v>
      </c>
      <c r="I38" s="5">
        <v>39.0705882352941</v>
      </c>
      <c r="J38" s="5">
        <v>13.4274509803921</v>
      </c>
      <c r="K38" s="5">
        <v>11.2901960784313</v>
      </c>
      <c r="N38" s="5">
        <v>8.62352941176471</v>
      </c>
      <c r="O38" s="5">
        <v>26.9156862745098</v>
      </c>
      <c r="P38" s="5">
        <v>28.378431372549</v>
      </c>
      <c r="Q38" s="5">
        <v>31.7745098039215</v>
      </c>
      <c r="T38" s="5">
        <v>8.62352941176471</v>
      </c>
      <c r="U38" s="5">
        <v>22.4450980392156</v>
      </c>
      <c r="V38" s="5">
        <v>28.378431372549</v>
      </c>
      <c r="W38" s="5">
        <v>34.5490196078431</v>
      </c>
    </row>
    <row r="39" hidden="1" spans="2:23">
      <c r="B39" s="5">
        <v>8.56470588235294</v>
      </c>
      <c r="C39" s="5">
        <v>11.178431372549</v>
      </c>
      <c r="D39" s="5">
        <v>13.7607843137254</v>
      </c>
      <c r="E39" s="5">
        <v>16.3529411764705</v>
      </c>
      <c r="F39" s="7"/>
      <c r="H39" s="5">
        <v>8.56470588235294</v>
      </c>
      <c r="I39" s="5">
        <v>38.5647058823529</v>
      </c>
      <c r="J39" s="5">
        <v>13.7607843137254</v>
      </c>
      <c r="K39" s="5">
        <v>10.9705882352941</v>
      </c>
      <c r="N39" s="5">
        <v>8.56470588235294</v>
      </c>
      <c r="O39" s="5">
        <v>26.4686274509804</v>
      </c>
      <c r="P39" s="5">
        <v>28.1882352941176</v>
      </c>
      <c r="Q39" s="5">
        <v>31.2411764705882</v>
      </c>
      <c r="T39" s="5">
        <v>8.56470588235294</v>
      </c>
      <c r="U39" s="5">
        <v>22.7235294117647</v>
      </c>
      <c r="V39" s="5">
        <v>28.1882352941176</v>
      </c>
      <c r="W39" s="5">
        <v>34.8078431372549</v>
      </c>
    </row>
    <row r="40" hidden="1" spans="2:23">
      <c r="B40" s="5">
        <v>8.34901960784313</v>
      </c>
      <c r="C40" s="5">
        <v>10.8372549019607</v>
      </c>
      <c r="D40" s="5">
        <v>13.8196078431372</v>
      </c>
      <c r="E40" s="5">
        <v>16.2294117647058</v>
      </c>
      <c r="F40" s="7"/>
      <c r="H40" s="5">
        <v>8.34901960784313</v>
      </c>
      <c r="I40" s="5">
        <v>38.9607843137254</v>
      </c>
      <c r="J40" s="5">
        <v>13.8196078431372</v>
      </c>
      <c r="K40" s="5">
        <v>10.9666666666666</v>
      </c>
      <c r="N40" s="5">
        <v>8.34901960784313</v>
      </c>
      <c r="O40" s="5">
        <v>25.4529411764705</v>
      </c>
      <c r="P40" s="5">
        <v>28.6607843137254</v>
      </c>
      <c r="Q40" s="5">
        <v>30.4156862745098</v>
      </c>
      <c r="T40" s="5">
        <v>8.34901960784313</v>
      </c>
      <c r="U40" s="5">
        <v>22.392156862745</v>
      </c>
      <c r="V40" s="5">
        <v>28.6607843137254</v>
      </c>
      <c r="W40" s="5">
        <v>35.0509803921568</v>
      </c>
    </row>
    <row r="41" hidden="1" spans="2:23">
      <c r="B41" s="5">
        <v>8.7921568627451</v>
      </c>
      <c r="C41" s="5">
        <v>11.8176470588235</v>
      </c>
      <c r="D41" s="5">
        <v>14.2078431372549</v>
      </c>
      <c r="E41" s="5">
        <v>17.3333333333333</v>
      </c>
      <c r="F41" s="7"/>
      <c r="H41" s="5">
        <v>8.7921568627451</v>
      </c>
      <c r="I41" s="5">
        <v>38.4490196078431</v>
      </c>
      <c r="J41" s="5">
        <v>14.2078431372549</v>
      </c>
      <c r="K41" s="5">
        <v>11.7529411764705</v>
      </c>
      <c r="N41" s="5">
        <v>8.7921568627451</v>
      </c>
      <c r="O41" s="5">
        <v>25.9235294117647</v>
      </c>
      <c r="P41" s="5">
        <v>28.3705882352941</v>
      </c>
      <c r="Q41" s="5">
        <v>30.4509803921568</v>
      </c>
      <c r="T41" s="5">
        <v>8.7921568627451</v>
      </c>
      <c r="U41" s="5">
        <v>22.3215686274509</v>
      </c>
      <c r="V41" s="5">
        <v>28.3705882352941</v>
      </c>
      <c r="W41" s="5">
        <v>34.7411764705882</v>
      </c>
    </row>
    <row r="42" hidden="1" spans="2:23">
      <c r="B42" s="5">
        <v>8.45294117647059</v>
      </c>
      <c r="C42" s="5">
        <v>10.8509803921568</v>
      </c>
      <c r="D42" s="5">
        <v>14.3450980392156</v>
      </c>
      <c r="E42" s="5">
        <v>16.3529411764705</v>
      </c>
      <c r="F42" s="7"/>
      <c r="H42" s="5">
        <v>8.45294117647059</v>
      </c>
      <c r="I42" s="5">
        <v>41.2901960784313</v>
      </c>
      <c r="J42" s="5">
        <v>14.3450980392156</v>
      </c>
      <c r="K42" s="5">
        <v>10.9921568627451</v>
      </c>
      <c r="N42" s="5">
        <v>8.45294117647059</v>
      </c>
      <c r="O42" s="5">
        <v>27.1862745098039</v>
      </c>
      <c r="P42" s="5">
        <v>29.6470588235294</v>
      </c>
      <c r="Q42" s="5">
        <v>31.6490196078431</v>
      </c>
      <c r="T42" s="5">
        <v>8.45294117647059</v>
      </c>
      <c r="U42" s="5">
        <v>22.5686274509803</v>
      </c>
      <c r="V42" s="5">
        <v>29.6470588235294</v>
      </c>
      <c r="W42" s="5">
        <v>34.913725490196</v>
      </c>
    </row>
    <row r="43" s="1" customFormat="1" spans="1:23">
      <c r="A43" s="1" t="s">
        <v>12</v>
      </c>
      <c r="B43" s="1">
        <f>AVERAGE(B33:B42)</f>
        <v>8.57450980392157</v>
      </c>
      <c r="C43" s="1">
        <f t="shared" ref="C43:W43" si="3">AVERAGE(C33:C42)</f>
        <v>10.9756862745097</v>
      </c>
      <c r="D43" s="1">
        <f t="shared" si="3"/>
        <v>13.8754901960784</v>
      </c>
      <c r="E43" s="1">
        <f t="shared" si="3"/>
        <v>16.5566666666666</v>
      </c>
      <c r="G43" s="1" t="s">
        <v>12</v>
      </c>
      <c r="H43" s="1">
        <f t="shared" si="3"/>
        <v>8.57450980392157</v>
      </c>
      <c r="I43" s="1">
        <f t="shared" si="3"/>
        <v>39.4923529411764</v>
      </c>
      <c r="J43" s="1">
        <f t="shared" si="3"/>
        <v>13.8754901960784</v>
      </c>
      <c r="K43" s="1">
        <f t="shared" si="3"/>
        <v>11.2488235294117</v>
      </c>
      <c r="M43" s="1" t="s">
        <v>12</v>
      </c>
      <c r="N43" s="1">
        <f t="shared" si="3"/>
        <v>8.57450980392157</v>
      </c>
      <c r="O43" s="1">
        <f t="shared" si="3"/>
        <v>26.2807843137255</v>
      </c>
      <c r="P43" s="1">
        <f t="shared" si="3"/>
        <v>28.6780392156862</v>
      </c>
      <c r="Q43" s="1">
        <f t="shared" si="3"/>
        <v>31.0766666666666</v>
      </c>
      <c r="S43" s="1" t="s">
        <v>12</v>
      </c>
      <c r="T43" s="1">
        <f t="shared" si="3"/>
        <v>8.57450980392157</v>
      </c>
      <c r="U43" s="1">
        <f t="shared" si="3"/>
        <v>22.4203921568627</v>
      </c>
      <c r="V43" s="1">
        <f t="shared" si="3"/>
        <v>28.6780392156862</v>
      </c>
      <c r="W43" s="1">
        <f t="shared" si="3"/>
        <v>34.935294117647</v>
      </c>
    </row>
    <row r="44" s="1" customFormat="1" spans="1:23">
      <c r="A44" s="1" t="s">
        <v>13</v>
      </c>
      <c r="B44" s="1">
        <f>VAR(B33:B42)</f>
        <v>0.0290734332948873</v>
      </c>
      <c r="C44" s="1">
        <f t="shared" ref="C44:W44" si="4">VAR(C33:C42)</f>
        <v>0.195190055107012</v>
      </c>
      <c r="D44" s="1">
        <f t="shared" si="4"/>
        <v>0.266961638685965</v>
      </c>
      <c r="E44" s="1">
        <f t="shared" si="4"/>
        <v>0.303616942201732</v>
      </c>
      <c r="G44" s="1" t="s">
        <v>13</v>
      </c>
      <c r="H44" s="1">
        <f t="shared" si="4"/>
        <v>0.0290734332948873</v>
      </c>
      <c r="I44" s="1">
        <f t="shared" si="4"/>
        <v>0.76850395147164</v>
      </c>
      <c r="J44" s="1">
        <f t="shared" si="4"/>
        <v>0.266961638685965</v>
      </c>
      <c r="K44" s="1">
        <f t="shared" si="4"/>
        <v>0.138228416421021</v>
      </c>
      <c r="M44" s="1" t="s">
        <v>13</v>
      </c>
      <c r="N44" s="1">
        <f t="shared" si="4"/>
        <v>0.0290734332948873</v>
      </c>
      <c r="O44" s="1">
        <f t="shared" si="4"/>
        <v>0.308741765987452</v>
      </c>
      <c r="P44" s="1">
        <f t="shared" si="4"/>
        <v>0.303469434832759</v>
      </c>
      <c r="Q44" s="1">
        <f t="shared" si="4"/>
        <v>0.336066000256309</v>
      </c>
      <c r="S44" s="1" t="s">
        <v>13</v>
      </c>
      <c r="T44" s="1">
        <f t="shared" si="4"/>
        <v>0.0290734332948873</v>
      </c>
      <c r="U44" s="1">
        <f t="shared" si="4"/>
        <v>0.153536844803278</v>
      </c>
      <c r="V44" s="1">
        <f t="shared" si="4"/>
        <v>0.303469434832759</v>
      </c>
      <c r="W44" s="1">
        <f t="shared" si="4"/>
        <v>0.119029433124003</v>
      </c>
    </row>
    <row r="45" s="1" customFormat="1" spans="1:23">
      <c r="A45" s="1" t="s">
        <v>14</v>
      </c>
      <c r="B45" s="1">
        <f>STDEVPA(B33:B42)</f>
        <v>0.161759358200379</v>
      </c>
      <c r="C45" s="1">
        <f t="shared" ref="C45:W45" si="5">STDEVPA(C33:C42)</f>
        <v>0.419131303527081</v>
      </c>
      <c r="D45" s="1">
        <f t="shared" si="5"/>
        <v>0.490168822771674</v>
      </c>
      <c r="E45" s="1">
        <f t="shared" si="5"/>
        <v>0.522738221274816</v>
      </c>
      <c r="G45" s="1" t="s">
        <v>14</v>
      </c>
      <c r="H45" s="1">
        <f t="shared" si="5"/>
        <v>0.161759358200379</v>
      </c>
      <c r="I45" s="1">
        <f t="shared" si="5"/>
        <v>0.831657114635879</v>
      </c>
      <c r="J45" s="1">
        <f t="shared" si="5"/>
        <v>0.490168822771674</v>
      </c>
      <c r="K45" s="1">
        <f t="shared" si="5"/>
        <v>0.352711744600202</v>
      </c>
      <c r="M45" s="1" t="s">
        <v>14</v>
      </c>
      <c r="N45" s="1">
        <f t="shared" si="5"/>
        <v>0.161759358200379</v>
      </c>
      <c r="O45" s="1">
        <f t="shared" si="5"/>
        <v>0.527131472584124</v>
      </c>
      <c r="P45" s="1">
        <f t="shared" si="5"/>
        <v>0.522611223903087</v>
      </c>
      <c r="Q45" s="1">
        <f t="shared" si="5"/>
        <v>0.549963089880292</v>
      </c>
      <c r="S45" s="1" t="s">
        <v>14</v>
      </c>
      <c r="T45" s="1">
        <f t="shared" si="5"/>
        <v>0.161759358200379</v>
      </c>
      <c r="U45" s="1">
        <f t="shared" si="5"/>
        <v>0.371729956181836</v>
      </c>
      <c r="V45" s="1">
        <f t="shared" si="5"/>
        <v>0.522611223903087</v>
      </c>
      <c r="W45" s="1">
        <f t="shared" si="5"/>
        <v>0.327301832887631</v>
      </c>
    </row>
    <row r="50" spans="1:23">
      <c r="A50" s="2" t="s">
        <v>0</v>
      </c>
      <c r="B50" s="2">
        <v>1000</v>
      </c>
      <c r="C50" s="2">
        <v>1000</v>
      </c>
      <c r="D50" s="2">
        <v>1000</v>
      </c>
      <c r="E50" s="2">
        <v>1000</v>
      </c>
      <c r="G50" s="2" t="s">
        <v>0</v>
      </c>
      <c r="H50" s="2">
        <v>1000</v>
      </c>
      <c r="I50" s="2">
        <v>1000</v>
      </c>
      <c r="J50" s="2">
        <v>1000</v>
      </c>
      <c r="K50" s="2">
        <v>1000</v>
      </c>
      <c r="M50" s="2" t="s">
        <v>0</v>
      </c>
      <c r="N50" s="2">
        <v>1000</v>
      </c>
      <c r="O50" s="2">
        <v>1000</v>
      </c>
      <c r="P50" s="2">
        <v>1000</v>
      </c>
      <c r="Q50" s="2">
        <v>1000</v>
      </c>
      <c r="S50" s="2" t="s">
        <v>0</v>
      </c>
      <c r="T50" s="2">
        <v>1000</v>
      </c>
      <c r="U50" s="2">
        <v>1000</v>
      </c>
      <c r="V50" s="2">
        <v>1000</v>
      </c>
      <c r="W50" s="2">
        <v>1000</v>
      </c>
    </row>
    <row r="51" spans="1:23">
      <c r="A51" s="2" t="s">
        <v>1</v>
      </c>
      <c r="B51" s="2">
        <v>50</v>
      </c>
      <c r="C51" s="2">
        <v>50</v>
      </c>
      <c r="D51" s="2">
        <v>50</v>
      </c>
      <c r="E51" s="2">
        <v>50</v>
      </c>
      <c r="G51" s="2" t="s">
        <v>1</v>
      </c>
      <c r="H51" s="2">
        <v>50</v>
      </c>
      <c r="I51" s="2">
        <v>50</v>
      </c>
      <c r="J51" s="2">
        <v>50</v>
      </c>
      <c r="K51" s="2">
        <v>50</v>
      </c>
      <c r="M51" s="2" t="s">
        <v>1</v>
      </c>
      <c r="N51" s="2">
        <v>50</v>
      </c>
      <c r="O51" s="2">
        <v>50</v>
      </c>
      <c r="P51" s="2">
        <v>50</v>
      </c>
      <c r="Q51" s="2">
        <v>50</v>
      </c>
      <c r="S51" s="2" t="s">
        <v>1</v>
      </c>
      <c r="T51" s="2">
        <v>50</v>
      </c>
      <c r="U51" s="2">
        <v>50</v>
      </c>
      <c r="V51" s="2">
        <v>50</v>
      </c>
      <c r="W51" s="2">
        <v>50</v>
      </c>
    </row>
    <row r="52" spans="1:23">
      <c r="A52" s="2" t="s">
        <v>2</v>
      </c>
      <c r="B52" s="2">
        <v>50</v>
      </c>
      <c r="C52" s="2">
        <v>50</v>
      </c>
      <c r="D52" s="2">
        <v>50</v>
      </c>
      <c r="E52" s="2">
        <v>50</v>
      </c>
      <c r="G52" s="2" t="s">
        <v>2</v>
      </c>
      <c r="H52" s="2">
        <v>50</v>
      </c>
      <c r="I52" s="2">
        <v>50</v>
      </c>
      <c r="J52" s="2">
        <v>50</v>
      </c>
      <c r="K52" s="2">
        <v>50</v>
      </c>
      <c r="M52" s="2" t="s">
        <v>2</v>
      </c>
      <c r="N52" s="2">
        <v>50</v>
      </c>
      <c r="O52" s="2">
        <v>50</v>
      </c>
      <c r="P52" s="2">
        <v>50</v>
      </c>
      <c r="Q52" s="2">
        <v>50</v>
      </c>
      <c r="S52" s="2" t="s">
        <v>2</v>
      </c>
      <c r="T52" s="2">
        <v>50</v>
      </c>
      <c r="U52" s="2">
        <v>50</v>
      </c>
      <c r="V52" s="2">
        <v>50</v>
      </c>
      <c r="W52" s="2">
        <v>50</v>
      </c>
    </row>
    <row r="53" spans="1:23">
      <c r="A53" s="2" t="s">
        <v>3</v>
      </c>
      <c r="B53" s="2" t="s">
        <v>4</v>
      </c>
      <c r="C53" s="2" t="s">
        <v>5</v>
      </c>
      <c r="D53" s="2" t="s">
        <v>5</v>
      </c>
      <c r="E53" s="2" t="s">
        <v>5</v>
      </c>
      <c r="G53" s="2" t="s">
        <v>3</v>
      </c>
      <c r="H53" s="2" t="s">
        <v>4</v>
      </c>
      <c r="I53" s="2" t="s">
        <v>5</v>
      </c>
      <c r="J53" s="2" t="s">
        <v>5</v>
      </c>
      <c r="K53" s="2" t="s">
        <v>5</v>
      </c>
      <c r="M53" s="2" t="s">
        <v>3</v>
      </c>
      <c r="N53" s="2" t="s">
        <v>4</v>
      </c>
      <c r="O53" s="2" t="s">
        <v>6</v>
      </c>
      <c r="P53" s="2" t="s">
        <v>6</v>
      </c>
      <c r="Q53" s="2" t="s">
        <v>6</v>
      </c>
      <c r="S53" s="2" t="s">
        <v>3</v>
      </c>
      <c r="T53" s="2" t="s">
        <v>4</v>
      </c>
      <c r="U53" s="2" t="s">
        <v>6</v>
      </c>
      <c r="V53" s="2" t="s">
        <v>6</v>
      </c>
      <c r="W53" s="2" t="s">
        <v>6</v>
      </c>
    </row>
    <row r="54" spans="1:23">
      <c r="A54" s="2" t="s">
        <v>7</v>
      </c>
      <c r="B54" s="2" t="s">
        <v>8</v>
      </c>
      <c r="C54" s="4">
        <v>30</v>
      </c>
      <c r="D54" s="4">
        <v>60</v>
      </c>
      <c r="E54" s="4">
        <v>90</v>
      </c>
      <c r="F54" s="6"/>
      <c r="G54" s="2" t="s">
        <v>7</v>
      </c>
      <c r="H54" s="2" t="s">
        <v>8</v>
      </c>
      <c r="I54" s="2">
        <v>60</v>
      </c>
      <c r="J54" s="6">
        <v>60</v>
      </c>
      <c r="K54" s="2">
        <v>60</v>
      </c>
      <c r="M54" s="2" t="s">
        <v>7</v>
      </c>
      <c r="N54" s="2" t="s">
        <v>8</v>
      </c>
      <c r="O54" s="2" t="s">
        <v>8</v>
      </c>
      <c r="P54" s="2" t="s">
        <v>8</v>
      </c>
      <c r="Q54" s="2" t="s">
        <v>8</v>
      </c>
      <c r="S54" s="2" t="s">
        <v>7</v>
      </c>
      <c r="T54" s="2" t="s">
        <v>8</v>
      </c>
      <c r="U54" s="2" t="s">
        <v>8</v>
      </c>
      <c r="V54" s="2" t="s">
        <v>8</v>
      </c>
      <c r="W54" s="2" t="s">
        <v>8</v>
      </c>
    </row>
    <row r="55" spans="1:23">
      <c r="A55" s="2" t="s">
        <v>9</v>
      </c>
      <c r="B55" s="2" t="s">
        <v>8</v>
      </c>
      <c r="C55" s="2">
        <v>5</v>
      </c>
      <c r="D55" s="2">
        <v>5</v>
      </c>
      <c r="E55" s="2">
        <v>5</v>
      </c>
      <c r="G55" s="2" t="s">
        <v>9</v>
      </c>
      <c r="H55" s="2" t="s">
        <v>8</v>
      </c>
      <c r="I55" s="8">
        <v>1</v>
      </c>
      <c r="J55" s="8">
        <v>5</v>
      </c>
      <c r="K55" s="8">
        <v>10</v>
      </c>
      <c r="M55" s="2" t="s">
        <v>9</v>
      </c>
      <c r="N55" s="2" t="s">
        <v>8</v>
      </c>
      <c r="O55" s="2" t="s">
        <v>8</v>
      </c>
      <c r="P55" s="2" t="s">
        <v>8</v>
      </c>
      <c r="Q55" s="2" t="s">
        <v>8</v>
      </c>
      <c r="S55" s="2" t="s">
        <v>9</v>
      </c>
      <c r="T55" s="2" t="s">
        <v>8</v>
      </c>
      <c r="U55" s="2" t="s">
        <v>8</v>
      </c>
      <c r="V55" s="2" t="s">
        <v>8</v>
      </c>
      <c r="W55" s="2" t="s">
        <v>8</v>
      </c>
    </row>
    <row r="56" spans="1:23">
      <c r="A56" s="2" t="s">
        <v>10</v>
      </c>
      <c r="B56" s="2" t="s">
        <v>8</v>
      </c>
      <c r="C56" s="2" t="s">
        <v>8</v>
      </c>
      <c r="D56" s="2" t="s">
        <v>8</v>
      </c>
      <c r="E56" s="2" t="s">
        <v>8</v>
      </c>
      <c r="G56" s="2" t="s">
        <v>10</v>
      </c>
      <c r="H56" s="2" t="s">
        <v>8</v>
      </c>
      <c r="I56" s="2" t="s">
        <v>8</v>
      </c>
      <c r="J56" s="2" t="s">
        <v>8</v>
      </c>
      <c r="K56" s="2" t="s">
        <v>8</v>
      </c>
      <c r="M56" s="2" t="s">
        <v>10</v>
      </c>
      <c r="N56" s="2" t="s">
        <v>8</v>
      </c>
      <c r="O56" s="9">
        <v>70</v>
      </c>
      <c r="P56" s="9">
        <v>80</v>
      </c>
      <c r="Q56" s="9">
        <v>90</v>
      </c>
      <c r="S56" s="2" t="s">
        <v>10</v>
      </c>
      <c r="T56" s="2" t="s">
        <v>8</v>
      </c>
      <c r="U56" s="6">
        <v>80</v>
      </c>
      <c r="V56" s="6">
        <v>80</v>
      </c>
      <c r="W56" s="6">
        <v>80</v>
      </c>
    </row>
    <row r="57" spans="1:23">
      <c r="A57" s="2" t="s">
        <v>11</v>
      </c>
      <c r="B57" s="2" t="s">
        <v>8</v>
      </c>
      <c r="C57" s="2" t="s">
        <v>8</v>
      </c>
      <c r="D57" s="2" t="s">
        <v>8</v>
      </c>
      <c r="E57" s="2" t="s">
        <v>8</v>
      </c>
      <c r="G57" s="2" t="s">
        <v>11</v>
      </c>
      <c r="H57" s="2" t="s">
        <v>8</v>
      </c>
      <c r="I57" s="2" t="s">
        <v>8</v>
      </c>
      <c r="J57" s="2" t="s">
        <v>8</v>
      </c>
      <c r="K57" s="2" t="s">
        <v>8</v>
      </c>
      <c r="M57" s="2" t="s">
        <v>11</v>
      </c>
      <c r="N57" s="2" t="s">
        <v>8</v>
      </c>
      <c r="O57" s="2">
        <v>75</v>
      </c>
      <c r="P57" s="2">
        <v>75</v>
      </c>
      <c r="Q57" s="2">
        <v>75</v>
      </c>
      <c r="S57" s="2" t="s">
        <v>11</v>
      </c>
      <c r="T57" s="2" t="s">
        <v>8</v>
      </c>
      <c r="U57" s="10">
        <v>50</v>
      </c>
      <c r="V57" s="10">
        <v>75</v>
      </c>
      <c r="W57" s="10">
        <v>100</v>
      </c>
    </row>
    <row r="58" hidden="1" spans="2:23">
      <c r="B58" s="5">
        <v>5.30980392156862</v>
      </c>
      <c r="C58" s="5">
        <v>7.41764705882353</v>
      </c>
      <c r="D58" s="5">
        <v>9.85686274509804</v>
      </c>
      <c r="E58" s="5">
        <v>12.8313725490196</v>
      </c>
      <c r="F58" s="7"/>
      <c r="H58" s="5">
        <v>5.30980392156862</v>
      </c>
      <c r="I58" s="5">
        <v>32.9196078431372</v>
      </c>
      <c r="J58" s="5">
        <v>9.85686274509804</v>
      </c>
      <c r="K58" s="5">
        <v>7.81176470588235</v>
      </c>
      <c r="N58" s="5">
        <v>5.30980392156862</v>
      </c>
      <c r="O58" s="5">
        <v>22.9274509803921</v>
      </c>
      <c r="P58" s="5">
        <v>25.1039215686274</v>
      </c>
      <c r="Q58" s="5">
        <v>27.9274509803921</v>
      </c>
      <c r="T58" s="5">
        <v>5.30980392156862</v>
      </c>
      <c r="U58" s="5">
        <v>19.0705882352941</v>
      </c>
      <c r="V58" s="5">
        <v>25.1039215686274</v>
      </c>
      <c r="W58" s="5">
        <v>32.4196078431372</v>
      </c>
    </row>
    <row r="59" hidden="1" spans="2:23">
      <c r="B59" s="5">
        <v>5.02745098039215</v>
      </c>
      <c r="C59" s="5">
        <v>7.53529411764705</v>
      </c>
      <c r="D59" s="5">
        <v>10.2666666666666</v>
      </c>
      <c r="E59" s="5">
        <v>12.1725490196078</v>
      </c>
      <c r="F59" s="7"/>
      <c r="H59" s="5">
        <v>5.02745098039215</v>
      </c>
      <c r="I59" s="5">
        <v>33.6058823529411</v>
      </c>
      <c r="J59" s="5">
        <v>10.2666666666666</v>
      </c>
      <c r="K59" s="5">
        <v>7.66862745098039</v>
      </c>
      <c r="N59" s="5">
        <v>5.02745098039215</v>
      </c>
      <c r="O59" s="5">
        <v>22.8607843137254</v>
      </c>
      <c r="P59" s="5">
        <v>25.4705882352941</v>
      </c>
      <c r="Q59" s="5">
        <v>27.7960784313725</v>
      </c>
      <c r="T59" s="5">
        <v>5.02745098039215</v>
      </c>
      <c r="U59" s="5">
        <v>18.8039215686274</v>
      </c>
      <c r="V59" s="5">
        <v>25.4705882352941</v>
      </c>
      <c r="W59" s="5">
        <v>32.5098039215686</v>
      </c>
    </row>
    <row r="60" hidden="1" spans="2:23">
      <c r="B60" s="5">
        <v>4.97254901960784</v>
      </c>
      <c r="C60" s="5">
        <v>7.13921568627451</v>
      </c>
      <c r="D60" s="5">
        <v>9.63529411764706</v>
      </c>
      <c r="E60" s="5">
        <v>12.0921568627451</v>
      </c>
      <c r="F60" s="7"/>
      <c r="H60" s="5">
        <v>4.97254901960784</v>
      </c>
      <c r="I60" s="5">
        <v>32.7196078431372</v>
      </c>
      <c r="J60" s="5">
        <v>9.63529411764706</v>
      </c>
      <c r="K60" s="5">
        <v>7.44117647058823</v>
      </c>
      <c r="N60" s="5">
        <v>4.97254901960784</v>
      </c>
      <c r="O60" s="5">
        <v>23.2941176470588</v>
      </c>
      <c r="P60" s="5">
        <v>25.6941176470588</v>
      </c>
      <c r="Q60" s="5">
        <v>27.0196078431372</v>
      </c>
      <c r="T60" s="5">
        <v>4.97254901960784</v>
      </c>
      <c r="U60" s="5">
        <v>18.8274509803921</v>
      </c>
      <c r="V60" s="5">
        <v>25.6941176470588</v>
      </c>
      <c r="W60" s="5">
        <v>32.9509803921568</v>
      </c>
    </row>
    <row r="61" hidden="1" spans="2:23">
      <c r="B61" s="5">
        <v>5.50196078431372</v>
      </c>
      <c r="C61" s="5">
        <v>7.08235294117647</v>
      </c>
      <c r="D61" s="5">
        <v>9.81176470588235</v>
      </c>
      <c r="E61" s="5">
        <v>12.756862745098</v>
      </c>
      <c r="F61" s="7"/>
      <c r="H61" s="5">
        <v>5.50196078431372</v>
      </c>
      <c r="I61" s="5">
        <v>32.5117647058823</v>
      </c>
      <c r="J61" s="5">
        <v>9.81176470588235</v>
      </c>
      <c r="K61" s="5">
        <v>7.53137254901961</v>
      </c>
      <c r="N61" s="5">
        <v>5.50196078431372</v>
      </c>
      <c r="O61" s="5">
        <v>22.8254901960784</v>
      </c>
      <c r="P61" s="5">
        <v>26.0117647058823</v>
      </c>
      <c r="Q61" s="5">
        <v>27.7999999999999</v>
      </c>
      <c r="T61" s="5">
        <v>5.50196078431372</v>
      </c>
      <c r="U61" s="5">
        <v>18.8725490196078</v>
      </c>
      <c r="V61" s="5">
        <v>26.0117647058823</v>
      </c>
      <c r="W61" s="5">
        <v>32.6078431372549</v>
      </c>
    </row>
    <row r="62" hidden="1" spans="2:23">
      <c r="B62" s="5">
        <v>5.09215686274509</v>
      </c>
      <c r="C62" s="5">
        <v>7.11176470588235</v>
      </c>
      <c r="D62" s="5">
        <v>9.87843137254902</v>
      </c>
      <c r="E62" s="5">
        <v>12.2882352941176</v>
      </c>
      <c r="F62" s="7"/>
      <c r="H62" s="5">
        <v>5.09215686274509</v>
      </c>
      <c r="I62" s="5">
        <v>32.2509803921568</v>
      </c>
      <c r="J62" s="5">
        <v>9.87843137254902</v>
      </c>
      <c r="K62" s="5">
        <v>7.49803921568627</v>
      </c>
      <c r="N62" s="5">
        <v>5.09215686274509</v>
      </c>
      <c r="O62" s="5">
        <v>23.1490196078431</v>
      </c>
      <c r="P62" s="5">
        <v>26.5627450980392</v>
      </c>
      <c r="Q62" s="5">
        <v>27.756862745098</v>
      </c>
      <c r="T62" s="5">
        <v>5.09215686274509</v>
      </c>
      <c r="U62" s="5">
        <v>18.9529411764705</v>
      </c>
      <c r="V62" s="5">
        <v>26.5627450980392</v>
      </c>
      <c r="W62" s="5">
        <v>31.9509803921568</v>
      </c>
    </row>
    <row r="63" hidden="1" spans="2:23">
      <c r="B63" s="5">
        <v>5.69019607843137</v>
      </c>
      <c r="C63" s="5">
        <v>7.22549019607843</v>
      </c>
      <c r="D63" s="5">
        <v>10.6274509803921</v>
      </c>
      <c r="E63" s="5">
        <v>12.5764705882352</v>
      </c>
      <c r="F63" s="7"/>
      <c r="H63" s="5">
        <v>5.69019607843137</v>
      </c>
      <c r="I63" s="5">
        <v>33.113725490196</v>
      </c>
      <c r="J63" s="5">
        <v>10.6274509803921</v>
      </c>
      <c r="K63" s="5">
        <v>7.79607843137255</v>
      </c>
      <c r="N63" s="5">
        <v>5.69019607843137</v>
      </c>
      <c r="O63" s="5">
        <v>23.4058823529411</v>
      </c>
      <c r="P63" s="5">
        <v>26.3117647058823</v>
      </c>
      <c r="Q63" s="5">
        <v>28.0901960784313</v>
      </c>
      <c r="T63" s="5">
        <v>5.69019607843137</v>
      </c>
      <c r="U63" s="5">
        <v>18.5156862745098</v>
      </c>
      <c r="V63" s="5">
        <v>26.3117647058823</v>
      </c>
      <c r="W63" s="5">
        <v>31.5058823529411</v>
      </c>
    </row>
    <row r="64" hidden="1" spans="2:23">
      <c r="B64" s="5">
        <v>5.18039215686274</v>
      </c>
      <c r="C64" s="5">
        <v>7.47843137254902</v>
      </c>
      <c r="D64" s="5">
        <v>10.1235294117647</v>
      </c>
      <c r="E64" s="5">
        <v>12.3705882352941</v>
      </c>
      <c r="F64" s="7"/>
      <c r="H64" s="5">
        <v>5.18039215686274</v>
      </c>
      <c r="I64" s="5">
        <v>32.0274509803921</v>
      </c>
      <c r="J64" s="5">
        <v>10.1235294117647</v>
      </c>
      <c r="K64" s="5">
        <v>7.34313725490196</v>
      </c>
      <c r="N64" s="5">
        <v>5.18039215686274</v>
      </c>
      <c r="O64" s="5">
        <v>23.4235294117647</v>
      </c>
      <c r="P64" s="5">
        <v>26.1509803921568</v>
      </c>
      <c r="Q64" s="5">
        <v>27.8078431372549</v>
      </c>
      <c r="T64" s="5">
        <v>5.18039215686274</v>
      </c>
      <c r="U64" s="5">
        <v>18.6843137254901</v>
      </c>
      <c r="V64" s="5">
        <v>26.1509803921568</v>
      </c>
      <c r="W64" s="5">
        <v>32.6862745098039</v>
      </c>
    </row>
    <row r="65" hidden="1" spans="2:23">
      <c r="B65" s="5">
        <v>5.12941176470588</v>
      </c>
      <c r="C65" s="5">
        <v>7.28235294117647</v>
      </c>
      <c r="D65" s="5">
        <v>10.1490196078431</v>
      </c>
      <c r="E65" s="5">
        <v>13.2686274509803</v>
      </c>
      <c r="F65" s="7"/>
      <c r="H65" s="5">
        <v>5.12941176470588</v>
      </c>
      <c r="I65" s="5">
        <v>32.9039215686274</v>
      </c>
      <c r="J65" s="5">
        <v>10.1490196078431</v>
      </c>
      <c r="K65" s="5">
        <v>7.40980392156863</v>
      </c>
      <c r="N65" s="5">
        <v>5.12941176470588</v>
      </c>
      <c r="O65" s="5">
        <v>23.1686274509804</v>
      </c>
      <c r="P65" s="5">
        <v>25.0862745098039</v>
      </c>
      <c r="Q65" s="5">
        <v>27.792156862745</v>
      </c>
      <c r="T65" s="5">
        <v>5.12941176470588</v>
      </c>
      <c r="U65" s="2">
        <v>18.7</v>
      </c>
      <c r="V65" s="5">
        <v>25.0862745098039</v>
      </c>
      <c r="W65" s="5">
        <v>32.0588235294117</v>
      </c>
    </row>
    <row r="66" hidden="1" spans="2:23">
      <c r="B66" s="5">
        <v>5.10392156862745</v>
      </c>
      <c r="C66" s="5">
        <v>7.3156862745098</v>
      </c>
      <c r="D66" s="5">
        <v>10.1529411764705</v>
      </c>
      <c r="E66" s="5">
        <v>12.8549019607843</v>
      </c>
      <c r="F66" s="7"/>
      <c r="H66" s="5">
        <v>5.10392156862745</v>
      </c>
      <c r="I66" s="5">
        <v>33.4470588235294</v>
      </c>
      <c r="J66" s="5">
        <v>10.1529411764705</v>
      </c>
      <c r="K66" s="5">
        <v>7.43333333333333</v>
      </c>
      <c r="N66" s="5">
        <v>5.10392156862745</v>
      </c>
      <c r="O66" s="5">
        <v>22.8882352941176</v>
      </c>
      <c r="P66" s="5">
        <v>25.7411764705882</v>
      </c>
      <c r="Q66" s="5">
        <v>28.0705882352941</v>
      </c>
      <c r="T66" s="5">
        <v>5.10392156862745</v>
      </c>
      <c r="U66" s="5">
        <v>19.5058823529411</v>
      </c>
      <c r="V66" s="5">
        <v>25.7411764705882</v>
      </c>
      <c r="W66" s="5">
        <v>31.8196078431372</v>
      </c>
    </row>
    <row r="67" hidden="1" spans="2:23">
      <c r="B67" s="5">
        <v>5.3921568627451</v>
      </c>
      <c r="C67" s="5">
        <v>7.55490196078431</v>
      </c>
      <c r="D67" s="5">
        <v>9.52745098039215</v>
      </c>
      <c r="E67" s="5">
        <v>12.0294117647058</v>
      </c>
      <c r="F67" s="7"/>
      <c r="H67" s="5">
        <v>5.3921568627451</v>
      </c>
      <c r="I67" s="2">
        <v>32.7</v>
      </c>
      <c r="J67" s="5">
        <v>9.52745098039215</v>
      </c>
      <c r="K67" s="5">
        <v>8.00392156862745</v>
      </c>
      <c r="N67" s="5">
        <v>5.3921568627451</v>
      </c>
      <c r="O67" s="5">
        <v>23.6450980392156</v>
      </c>
      <c r="P67" s="5">
        <v>26.3588235294117</v>
      </c>
      <c r="Q67" s="5">
        <v>28.0901960784313</v>
      </c>
      <c r="T67" s="5">
        <v>5.3921568627451</v>
      </c>
      <c r="U67" s="5">
        <v>18.9529411764705</v>
      </c>
      <c r="V67" s="5">
        <v>26.3588235294117</v>
      </c>
      <c r="W67" s="5">
        <v>32.0588235294117</v>
      </c>
    </row>
    <row r="68" s="1" customFormat="1" spans="1:23">
      <c r="A68" s="1" t="s">
        <v>12</v>
      </c>
      <c r="B68" s="1">
        <f>AVERAGE(B58:B67)</f>
        <v>5.23999999999999</v>
      </c>
      <c r="C68" s="1">
        <f t="shared" ref="C68:W68" si="6">AVERAGE(C58:C67)</f>
        <v>7.31431372549019</v>
      </c>
      <c r="D68" s="1">
        <f t="shared" si="6"/>
        <v>10.0029411764706</v>
      </c>
      <c r="E68" s="1">
        <f t="shared" si="6"/>
        <v>12.5241176470588</v>
      </c>
      <c r="G68" s="1" t="s">
        <v>12</v>
      </c>
      <c r="H68" s="1">
        <f t="shared" si="6"/>
        <v>5.23999999999999</v>
      </c>
      <c r="I68" s="1">
        <f t="shared" si="6"/>
        <v>32.82</v>
      </c>
      <c r="J68" s="1">
        <f t="shared" si="6"/>
        <v>10.0029411764706</v>
      </c>
      <c r="K68" s="1">
        <f t="shared" si="6"/>
        <v>7.59372549019608</v>
      </c>
      <c r="M68" s="1" t="s">
        <v>12</v>
      </c>
      <c r="N68" s="1">
        <f t="shared" si="6"/>
        <v>5.23999999999999</v>
      </c>
      <c r="O68" s="1">
        <f t="shared" si="6"/>
        <v>23.1588235294117</v>
      </c>
      <c r="P68" s="1">
        <f t="shared" si="6"/>
        <v>25.8492156862745</v>
      </c>
      <c r="Q68" s="1">
        <f t="shared" si="6"/>
        <v>27.8150980392156</v>
      </c>
      <c r="S68" s="1" t="s">
        <v>12</v>
      </c>
      <c r="T68" s="1">
        <f t="shared" si="6"/>
        <v>5.23999999999999</v>
      </c>
      <c r="U68" s="1">
        <f t="shared" si="6"/>
        <v>18.8886274509803</v>
      </c>
      <c r="V68" s="1">
        <f t="shared" si="6"/>
        <v>25.8492156862745</v>
      </c>
      <c r="W68" s="1">
        <f t="shared" si="6"/>
        <v>32.256862745098</v>
      </c>
    </row>
    <row r="69" s="1" customFormat="1" spans="1:23">
      <c r="A69" s="1" t="s">
        <v>13</v>
      </c>
      <c r="B69" s="1">
        <f>VAR(B58:B67)</f>
        <v>0.0524654620017946</v>
      </c>
      <c r="C69" s="1">
        <f t="shared" ref="C69:W69" si="7">VAR(C58:C67)</f>
        <v>0.0309701824084749</v>
      </c>
      <c r="D69" s="1">
        <f t="shared" si="7"/>
        <v>0.105843265410724</v>
      </c>
      <c r="E69" s="1">
        <f t="shared" si="7"/>
        <v>0.161018454440595</v>
      </c>
      <c r="G69" s="1" t="s">
        <v>13</v>
      </c>
      <c r="H69" s="1">
        <f t="shared" si="7"/>
        <v>0.0524654620017946</v>
      </c>
      <c r="I69" s="1">
        <f t="shared" si="7"/>
        <v>0.242828655645266</v>
      </c>
      <c r="J69" s="1">
        <f t="shared" si="7"/>
        <v>0.105843265410724</v>
      </c>
      <c r="K69" s="1">
        <f t="shared" si="7"/>
        <v>0.0467801273014652</v>
      </c>
      <c r="M69" s="1" t="s">
        <v>13</v>
      </c>
      <c r="N69" s="1">
        <f t="shared" si="7"/>
        <v>0.0524654620017946</v>
      </c>
      <c r="O69" s="1">
        <f t="shared" si="7"/>
        <v>0.0791951813405099</v>
      </c>
      <c r="P69" s="1">
        <f t="shared" si="7"/>
        <v>0.26854325259515</v>
      </c>
      <c r="Q69" s="1">
        <f t="shared" si="7"/>
        <v>0.0962912127814086</v>
      </c>
      <c r="S69" s="1" t="s">
        <v>13</v>
      </c>
      <c r="T69" s="1">
        <f t="shared" si="7"/>
        <v>0.0524654620017946</v>
      </c>
      <c r="U69" s="1">
        <f t="shared" si="7"/>
        <v>0.0722190610448901</v>
      </c>
      <c r="V69" s="1">
        <f t="shared" si="7"/>
        <v>0.26854325259515</v>
      </c>
      <c r="W69" s="1">
        <f t="shared" si="7"/>
        <v>0.200779187492004</v>
      </c>
    </row>
    <row r="70" s="1" customFormat="1" spans="1:23">
      <c r="A70" s="1" t="s">
        <v>14</v>
      </c>
      <c r="B70" s="1">
        <f>STDEVPA(B58:B67)</f>
        <v>0.217299138980381</v>
      </c>
      <c r="C70" s="1">
        <f t="shared" ref="C70:W70" si="8">STDEVPA(C58:C67)</f>
        <v>0.166952580595891</v>
      </c>
      <c r="D70" s="1">
        <f t="shared" si="8"/>
        <v>0.308640468619479</v>
      </c>
      <c r="E70" s="1">
        <f t="shared" si="8"/>
        <v>0.380679141793369</v>
      </c>
      <c r="G70" s="1" t="s">
        <v>14</v>
      </c>
      <c r="H70" s="1">
        <f t="shared" si="8"/>
        <v>0.217299138980381</v>
      </c>
      <c r="I70" s="1">
        <f t="shared" si="8"/>
        <v>0.467488812786722</v>
      </c>
      <c r="J70" s="1">
        <f t="shared" si="8"/>
        <v>0.308640468619479</v>
      </c>
      <c r="K70" s="1">
        <f t="shared" si="8"/>
        <v>0.205187998117138</v>
      </c>
      <c r="M70" s="1" t="s">
        <v>14</v>
      </c>
      <c r="N70" s="1">
        <f t="shared" si="8"/>
        <v>0.217299138980381</v>
      </c>
      <c r="O70" s="1">
        <f t="shared" si="8"/>
        <v>0.26697502356299</v>
      </c>
      <c r="P70" s="1">
        <f t="shared" si="8"/>
        <v>0.491618680824514</v>
      </c>
      <c r="Q70" s="1">
        <f t="shared" si="8"/>
        <v>0.294384258246374</v>
      </c>
      <c r="S70" s="1" t="s">
        <v>14</v>
      </c>
      <c r="T70" s="1">
        <f t="shared" si="8"/>
        <v>0.217299138980381</v>
      </c>
      <c r="U70" s="1">
        <f t="shared" si="8"/>
        <v>0.254945395997655</v>
      </c>
      <c r="V70" s="1">
        <f t="shared" si="8"/>
        <v>0.491618680824514</v>
      </c>
      <c r="W70" s="1">
        <f t="shared" si="8"/>
        <v>0.425089718462824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linjingyu</dc:creator>
  <cp:lastModifiedBy>林静瑜</cp:lastModifiedBy>
  <dcterms:created xsi:type="dcterms:W3CDTF">2025-04-22T14:47:23Z</dcterms:created>
  <dcterms:modified xsi:type="dcterms:W3CDTF">2025-04-22T18:51:56Z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3012B3F831B8923D7B3B07685F27E16C_41</vt:lpwstr>
  </property>
  <property fmtid="{D5CDD505-2E9C-101B-9397-08002B2CF9AE}" pid="3" name="KSOProductBuildVer">
    <vt:lpwstr>1033-6.13.1.8913</vt:lpwstr>
  </property>
</Properties>
</file>